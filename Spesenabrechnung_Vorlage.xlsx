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11533718751456555520/WOPIServiceId_TP_DROPBOX_PLUS/WOPIUserId_-/"/>
    </mc:Choice>
  </mc:AlternateContent>
  <xr:revisionPtr revIDLastSave="93" documentId="8_{5CDD2B8F-DC00-0D47-8623-2CEA972F14E1}" xr6:coauthVersionLast="47" xr6:coauthVersionMax="47" xr10:uidLastSave="{ECDEB46E-EDD6-0D49-871D-961BFA65ABE8}"/>
  <bookViews>
    <workbookView xWindow="0" yWindow="780" windowWidth="23240" windowHeight="21540" xr2:uid="{00000000-000D-0000-FFFF-FFFF00000000}"/>
  </bookViews>
  <sheets>
    <sheet name="Spesenabrechnung" sheetId="1" r:id="rId1"/>
    <sheet name="Vorgaben" sheetId="2" state="hidden" r:id="rId2"/>
  </sheets>
  <definedNames>
    <definedName name="Art">Vorgaben!$A$3:$A$14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4" i="1" l="1"/>
  <c r="G15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G16" i="1"/>
  <c r="G17" i="1"/>
  <c r="G18" i="1"/>
  <c r="G19" i="1"/>
  <c r="G20" i="1"/>
  <c r="G21" i="1"/>
  <c r="G22" i="1"/>
  <c r="G23" i="1"/>
  <c r="G24" i="1"/>
  <c r="G25" i="1"/>
  <c r="G26" i="1"/>
  <c r="F27" i="1" l="1"/>
</calcChain>
</file>

<file path=xl/sharedStrings.xml><?xml version="1.0" encoding="utf-8"?>
<sst xmlns="http://schemas.openxmlformats.org/spreadsheetml/2006/main" count="36" uniqueCount="35">
  <si>
    <t>Spesenabrechnung</t>
  </si>
  <si>
    <t>Datum</t>
  </si>
  <si>
    <t>Anzahl</t>
  </si>
  <si>
    <t>Artikel</t>
  </si>
  <si>
    <t>Stückpreis</t>
  </si>
  <si>
    <t>Total</t>
  </si>
  <si>
    <t xml:space="preserve">Konto </t>
  </si>
  <si>
    <t>MWST</t>
  </si>
  <si>
    <t>Ansatz PW :</t>
  </si>
  <si>
    <t>Divers</t>
  </si>
  <si>
    <t>Name:</t>
  </si>
  <si>
    <t>Auftrag  - Zumiete Fremdmaterial</t>
  </si>
  <si>
    <t>Auftrag - Verpflegung und Hotel</t>
  </si>
  <si>
    <t>Auftrag - Fahr- und Parkspesen</t>
  </si>
  <si>
    <t>intern - Verpflegung Mitarbeitende</t>
  </si>
  <si>
    <t>intern - Weiterbildung</t>
  </si>
  <si>
    <t>intern - sonstiger Personalaufwand</t>
  </si>
  <si>
    <t>intern - Treibstoff</t>
  </si>
  <si>
    <t>intern - Klein- und Verbrauchsmaterial</t>
  </si>
  <si>
    <t>intern - Reisespesen</t>
  </si>
  <si>
    <t xml:space="preserve">intern - Repräsentationsspesen </t>
  </si>
  <si>
    <t>intern - Büromaterial</t>
  </si>
  <si>
    <t>intern - Telefon</t>
  </si>
  <si>
    <t>intern - Porti</t>
  </si>
  <si>
    <t>intern - EDV Unterhalt und Lizenzen</t>
  </si>
  <si>
    <t>Auftrag</t>
  </si>
  <si>
    <t>KST</t>
  </si>
  <si>
    <t>Event</t>
  </si>
  <si>
    <t>Kongresshaus</t>
  </si>
  <si>
    <t>Edeweiss</t>
  </si>
  <si>
    <t>Verwaltung</t>
  </si>
  <si>
    <t>CHF 0.70 / km</t>
  </si>
  <si>
    <t>Belege</t>
  </si>
  <si>
    <t>Benjamin Knaus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</si>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</sst>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CHF&quot;\ * #,##0.00_ ;_ &quot;CHF&quot;\ * \-#,##0.00_ ;_ &quot;CHF&quot;\ * &quot;-&quot;??_ ;_ @_ "/>
  </numFmts>
  <fonts count="2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Avenir"/>
      <family val="2"/>
    </font>
    <font>
      <sz val="16"/>
      <color theme="1"/>
      <name val="Avenir"/>
      <family val="2"/>
    </font>
    <font>
      <sz val="11"/>
      <color rgb="FF000000"/>
      <name val="Avenir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color theme="1"/>
      <name val="Avenir"/>
      <family val="2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rgb="FF341238"/>
      <name val="Quantico"/>
    </font>
    <font>
      <sz val="18"/>
      <color rgb="FF341238"/>
      <name val="Quantico"/>
    </font>
    <font>
      <b/>
      <sz val="10"/>
      <color rgb="FFFF3D6D"/>
      <name val="Titillium"/>
    </font>
    <font>
      <b/>
      <sz val="10"/>
      <color rgb="FF9AF500"/>
      <name val="Titillium"/>
    </font>
    <font>
      <sz val="10"/>
      <color rgb="FF341238"/>
      <name val="Titillium"/>
    </font>
    <font>
      <b/>
      <sz val="11"/>
      <color rgb="FF341238"/>
      <name val="Titillium"/>
    </font>
    <font>
      <sz val="10"/>
      <color rgb="FF9AF601"/>
      <name val="Symbol"/>
      <charset val="2"/>
    </font>
    <font>
      <b/>
      <sz val="10"/>
      <color rgb="FF341238"/>
      <name val="Titillium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">
    <xf numFmtId="0" fontId="0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horizontal="left" vertical="center" indent="2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7" fillId="0" borderId="1" applyFill="0"/>
  </cellStyleXfs>
  <cellXfs count="2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9" applyAlignment="1">
      <alignment horizontal="left" vertical="center"/>
    </xf>
    <xf numFmtId="0" fontId="14" fillId="0" borderId="0" xfId="8">
      <alignment vertical="center"/>
    </xf>
    <xf numFmtId="0" fontId="19" fillId="0" borderId="0" xfId="0" applyFont="1" applyAlignment="1">
      <alignment horizontal="left" vertical="center"/>
    </xf>
    <xf numFmtId="0" fontId="17" fillId="0" borderId="0" xfId="13" applyAlignment="1">
      <alignment vertical="center"/>
    </xf>
    <xf numFmtId="0" fontId="17" fillId="0" borderId="1" xfId="13" applyBorder="1" applyAlignment="1">
      <alignment vertical="center"/>
    </xf>
    <xf numFmtId="0" fontId="17" fillId="3" borderId="1" xfId="13" applyFill="1" applyBorder="1" applyAlignment="1">
      <alignment vertical="center"/>
    </xf>
    <xf numFmtId="44" fontId="17" fillId="3" borderId="1" xfId="13" applyNumberFormat="1" applyFill="1" applyBorder="1" applyAlignment="1">
      <alignment vertical="center"/>
    </xf>
    <xf numFmtId="44" fontId="20" fillId="0" borderId="1" xfId="13" applyNumberFormat="1" applyFont="1" applyBorder="1" applyAlignment="1">
      <alignment vertical="center"/>
    </xf>
    <xf numFmtId="44" fontId="2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20" fillId="0" borderId="1" xfId="13" applyFont="1" applyBorder="1" applyAlignment="1">
      <alignment horizontal="left" vertical="center"/>
    </xf>
    <xf numFmtId="10" fontId="17" fillId="3" borderId="1" xfId="13" applyNumberFormat="1" applyFill="1" applyBorder="1" applyAlignment="1">
      <alignment vertical="center"/>
    </xf>
    <xf numFmtId="14" fontId="17" fillId="3" borderId="1" xfId="13" applyNumberForma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</cellXfs>
  <cellStyles count="19">
    <cellStyle name="Ergebnis" xfId="6" builtinId="25" hidden="1"/>
    <cellStyle name="Standard" xfId="0" builtinId="0"/>
    <cellStyle name="Standart Venon" xfId="13" xr:uid="{334BFE43-437C-EC44-9ECC-668A7732A5B9}"/>
    <cellStyle name="Tabelle VENON" xfId="18" xr:uid="{AAC8FC4E-9D53-3E48-8EE1-19EB02986A5B}"/>
    <cellStyle name="Titel" xfId="8" xr:uid="{9659A9A8-95A7-4E45-A3D3-7600F3443762}"/>
    <cellStyle name="Titel Gross" xfId="7" xr:uid="{0C066E5C-E361-E549-8307-FE42F9D0DEFF}"/>
    <cellStyle name="Überschrift" xfId="1" builtinId="15" hidden="1"/>
    <cellStyle name="Überschrift 1" xfId="2" builtinId="16" hidden="1"/>
    <cellStyle name="Überschrift 1" xfId="9" xr:uid="{7880FD42-A813-1441-8926-2B5806D04089}"/>
    <cellStyle name="Überschrift 2" xfId="3" builtinId="17" hidden="1"/>
    <cellStyle name="Überschrift 2" xfId="10" builtinId="17" hidden="1"/>
    <cellStyle name="Überschrift 2" xfId="11" builtinId="17" hidden="1"/>
    <cellStyle name="Überschrift 2" xfId="12" xr:uid="{95163DB1-833D-F04E-9B7A-431A621D9BDF}"/>
    <cellStyle name="Überschrift 3" xfId="4" builtinId="18" hidden="1"/>
    <cellStyle name="Überschrift 3" xfId="14" builtinId="18" hidden="1"/>
    <cellStyle name="Überschrift 3" xfId="15" builtinId="18" hidden="1"/>
    <cellStyle name="Überschrift 3" xfId="16" builtinId="18" hidden="1"/>
    <cellStyle name="Überschrift 3" xfId="17" xr:uid="{84C34824-B62C-2F44-961B-07D66C137B2D}"/>
    <cellStyle name="Überschrift 4" xfId="5" builtinId="1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12700</xdr:colOff>
      <xdr:row>0</xdr:row>
      <xdr:rowOff>0</xdr:rowOff>
    </xdr:from>
    <xdr:to>
      <xdr:col>8</xdr:col>
      <xdr:colOff>647700</xdr:colOff>
      <xdr:row>6</xdr:row>
      <xdr:rowOff>76200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8A35AEDC-7C61-0DC2-C382-08B957B04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1600" y="0"/>
          <a:ext cx="1219200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5"/>
  <sheetViews>
    <sheetView tabSelected="1" view="pageLayout" zoomScaleNormal="100" zoomScaleSheetLayoutView="90" workbookViewId="0">
      <selection activeCell="B12" sqref="B12"/>
    </sheetView>
  </sheetViews>
  <sheetFormatPr baseColWidth="10" defaultColWidth="12.6640625" defaultRowHeight="15" customHeight="1"/>
  <cols>
    <col min="1" max="1" width="11" style="9" customWidth="1"/>
    <col min="2" max="2" width="7.6640625" style="9" customWidth="1"/>
    <col min="3" max="3" width="24.1640625" style="9" customWidth="1"/>
    <col min="4" max="4" width="48.6640625" style="9" customWidth="1"/>
    <col min="5" max="5" width="20" style="9" customWidth="1"/>
    <col min="6" max="6" width="15.83203125" style="9" customWidth="1"/>
    <col min="7" max="7" width="7.1640625" style="9" customWidth="1"/>
    <col min="8" max="8" width="7.6640625" style="9" customWidth="1"/>
    <col min="9" max="9" width="9" style="9" customWidth="1"/>
    <col min="10" max="10" width="6.1640625" style="9" customWidth="1"/>
    <col min="11" max="27" width="9.5" style="9" customWidth="1"/>
    <col min="28" max="16384" width="12.6640625" style="9"/>
  </cols>
  <sheetData>
    <row r="1" spans="1:27" ht="15.75" customHeight="1">
      <c r="A1" s="5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.75" customHeight="1">
      <c r="A3" s="6"/>
      <c r="B3" s="8"/>
      <c r="C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.75" customHeight="1">
      <c r="A4" s="8"/>
      <c r="B4" s="8"/>
      <c r="C4" s="8"/>
      <c r="E4" s="8" t="s">
        <v>34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5.75" customHeight="1">
      <c r="A5" s="10"/>
      <c r="B5" s="8"/>
      <c r="C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customHeight="1">
      <c r="A6" s="8"/>
      <c r="B6" s="8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28">
      <c r="A7" s="11" t="s">
        <v>0</v>
      </c>
      <c r="B7" s="2"/>
      <c r="C7" s="2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.75" customHeight="1">
      <c r="A8" s="8"/>
      <c r="B8" s="8"/>
      <c r="C8" s="8"/>
      <c r="D8" s="2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.75" customHeight="1">
      <c r="A9" s="13" t="s">
        <v>10</v>
      </c>
      <c r="B9" s="23" t="s">
        <v>33</v>
      </c>
      <c r="C9" s="23"/>
      <c r="D9" s="24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.75" customHeight="1">
      <c r="A11" s="14" t="s">
        <v>1</v>
      </c>
      <c r="B11" s="14" t="s">
        <v>2</v>
      </c>
      <c r="C11" s="14" t="s">
        <v>25</v>
      </c>
      <c r="D11" s="14" t="s">
        <v>3</v>
      </c>
      <c r="E11" s="14" t="s">
        <v>4</v>
      </c>
      <c r="F11" s="14" t="s">
        <v>5</v>
      </c>
      <c r="G11" s="14" t="s">
        <v>6</v>
      </c>
      <c r="H11" s="14" t="s">
        <v>26</v>
      </c>
      <c r="I11" s="14" t="s">
        <v>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.75" customHeight="1">
      <c r="A12" s="22"/>
      <c r="B12" s="15"/>
      <c r="C12" s="15"/>
      <c r="D12" s="15"/>
      <c r="E12" s="15"/>
      <c r="F12" s="16">
        <f>B12*E12</f>
        <v>0</v>
      </c>
      <c r="G12" s="15"/>
      <c r="H12" s="15"/>
      <c r="I12" s="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.75" customHeight="1">
      <c r="A13" s="22"/>
      <c r="B13" s="15"/>
      <c r="C13" s="15"/>
      <c r="D13" s="15"/>
      <c r="E13" s="15"/>
      <c r="F13" s="16">
        <f t="shared" ref="F13:F26" si="0">B13*E13</f>
        <v>0</v>
      </c>
      <c r="G13" s="15"/>
      <c r="H13" s="15"/>
      <c r="I13" s="2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.75" customHeight="1">
      <c r="A14" s="22"/>
      <c r="B14" s="15"/>
      <c r="C14" s="15"/>
      <c r="D14" s="15"/>
      <c r="E14" s="15"/>
      <c r="F14" s="16">
        <f t="shared" si="0"/>
        <v>0</v>
      </c>
      <c r="G14" s="15" t="str">
        <f>IF(B14&gt;0,(VLOOKUP(D14,Vorgaben!A$3:B$21,2,FALSE))," ")</f>
        <v xml:space="preserve"> </v>
      </c>
      <c r="H14" s="15"/>
      <c r="I14" s="2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customHeight="1">
      <c r="A15" s="22"/>
      <c r="B15" s="15"/>
      <c r="C15" s="15"/>
      <c r="D15" s="15"/>
      <c r="E15" s="15"/>
      <c r="F15" s="16">
        <f t="shared" si="0"/>
        <v>0</v>
      </c>
      <c r="G15" s="15" t="str">
        <f>IF(B15&gt;0,(VLOOKUP(D15,Vorgaben!A$3:B$21,2,FALSE))," ")</f>
        <v xml:space="preserve"> </v>
      </c>
      <c r="H15" s="15"/>
      <c r="I15" s="2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customHeight="1">
      <c r="A16" s="15"/>
      <c r="B16" s="15"/>
      <c r="C16" s="15"/>
      <c r="D16" s="15"/>
      <c r="E16" s="15"/>
      <c r="F16" s="16">
        <f t="shared" si="0"/>
        <v>0</v>
      </c>
      <c r="G16" s="15" t="str">
        <f>IF(B16&gt;0,(VLOOKUP(D16,Vorgaben!A$3:B$21,2,FALSE))," ")</f>
        <v xml:space="preserve"> </v>
      </c>
      <c r="H16" s="15"/>
      <c r="I16" s="15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>
      <c r="A17" s="15"/>
      <c r="B17" s="15"/>
      <c r="C17" s="15"/>
      <c r="D17" s="15"/>
      <c r="E17" s="15"/>
      <c r="F17" s="16">
        <f t="shared" si="0"/>
        <v>0</v>
      </c>
      <c r="G17" s="15" t="str">
        <f>IF(B17&gt;0,(VLOOKUP(D17,Vorgaben!A$3:B$21,2,FALSE))," ")</f>
        <v xml:space="preserve"> </v>
      </c>
      <c r="H17" s="15"/>
      <c r="I17" s="15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customHeight="1">
      <c r="A18" s="15"/>
      <c r="B18" s="15"/>
      <c r="C18" s="15"/>
      <c r="D18" s="15"/>
      <c r="E18" s="15"/>
      <c r="F18" s="16">
        <f t="shared" si="0"/>
        <v>0</v>
      </c>
      <c r="G18" s="15" t="str">
        <f>IF(B18&gt;0,(VLOOKUP(D18,Vorgaben!A$3:B$21,2,FALSE))," ")</f>
        <v xml:space="preserve"> </v>
      </c>
      <c r="H18" s="15"/>
      <c r="I18" s="15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.75" customHeight="1">
      <c r="A19" s="15"/>
      <c r="B19" s="15"/>
      <c r="C19" s="15"/>
      <c r="D19" s="15"/>
      <c r="E19" s="15"/>
      <c r="F19" s="16">
        <f t="shared" si="0"/>
        <v>0</v>
      </c>
      <c r="G19" s="15" t="str">
        <f>IF(B19&gt;0,(VLOOKUP(D19,Vorgaben!A$3:B$21,2,FALSE))," ")</f>
        <v xml:space="preserve"> </v>
      </c>
      <c r="H19" s="15"/>
      <c r="I19" s="15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.75" customHeight="1">
      <c r="A20" s="15"/>
      <c r="B20" s="15"/>
      <c r="C20" s="15"/>
      <c r="D20" s="15"/>
      <c r="E20" s="15"/>
      <c r="F20" s="16">
        <f t="shared" si="0"/>
        <v>0</v>
      </c>
      <c r="G20" s="15" t="str">
        <f>IF(B20&gt;0,(VLOOKUP(D20,Vorgaben!A$3:B$21,2,FALSE))," ")</f>
        <v xml:space="preserve"> </v>
      </c>
      <c r="H20" s="15"/>
      <c r="I20" s="15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.75" customHeight="1">
      <c r="A21" s="15"/>
      <c r="B21" s="15"/>
      <c r="C21" s="15"/>
      <c r="D21" s="15"/>
      <c r="E21" s="15"/>
      <c r="F21" s="16">
        <f t="shared" si="0"/>
        <v>0</v>
      </c>
      <c r="G21" s="15" t="str">
        <f>IF(B21&gt;0,(VLOOKUP(D21,Vorgaben!A$3:B$21,2,FALSE))," ")</f>
        <v xml:space="preserve"> </v>
      </c>
      <c r="H21" s="15"/>
      <c r="I21" s="15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.75" customHeight="1">
      <c r="A22" s="15"/>
      <c r="B22" s="15"/>
      <c r="C22" s="15"/>
      <c r="D22" s="15"/>
      <c r="E22" s="15"/>
      <c r="F22" s="16">
        <f t="shared" si="0"/>
        <v>0</v>
      </c>
      <c r="G22" s="15" t="str">
        <f>IF(B22&gt;0,(VLOOKUP(D22,Vorgaben!A$3:B$21,2,FALSE))," ")</f>
        <v xml:space="preserve"> </v>
      </c>
      <c r="H22" s="15"/>
      <c r="I22" s="15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.75" customHeight="1">
      <c r="A23" s="15"/>
      <c r="B23" s="15"/>
      <c r="C23" s="15"/>
      <c r="D23" s="15"/>
      <c r="E23" s="15"/>
      <c r="F23" s="16">
        <f t="shared" si="0"/>
        <v>0</v>
      </c>
      <c r="G23" s="15" t="str">
        <f>IF(B23&gt;0,(VLOOKUP(D23,Vorgaben!A$3:B$21,2,FALSE))," ")</f>
        <v xml:space="preserve"> </v>
      </c>
      <c r="H23" s="15"/>
      <c r="I23" s="15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 customHeight="1">
      <c r="A24" s="15"/>
      <c r="B24" s="15"/>
      <c r="C24" s="15"/>
      <c r="D24" s="15"/>
      <c r="E24" s="15"/>
      <c r="F24" s="16">
        <f t="shared" si="0"/>
        <v>0</v>
      </c>
      <c r="G24" s="15" t="str">
        <f>IF(B24&gt;0,(VLOOKUP(D24,Vorgaben!A$3:B$21,2,FALSE))," ")</f>
        <v xml:space="preserve"> </v>
      </c>
      <c r="H24" s="15"/>
      <c r="I24" s="15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.75" customHeight="1">
      <c r="A25" s="15"/>
      <c r="B25" s="15"/>
      <c r="C25" s="15"/>
      <c r="D25" s="15"/>
      <c r="E25" s="15"/>
      <c r="F25" s="16">
        <f t="shared" si="0"/>
        <v>0</v>
      </c>
      <c r="G25" s="15" t="str">
        <f>IF(B25&gt;0,(VLOOKUP(D25,Vorgaben!A$3:B$21,2,FALSE))," ")</f>
        <v xml:space="preserve"> </v>
      </c>
      <c r="H25" s="15"/>
      <c r="I25" s="15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.75" customHeight="1">
      <c r="A26" s="15"/>
      <c r="B26" s="15"/>
      <c r="C26" s="15"/>
      <c r="D26" s="15"/>
      <c r="E26" s="15"/>
      <c r="F26" s="16">
        <f t="shared" si="0"/>
        <v>0</v>
      </c>
      <c r="G26" s="15" t="str">
        <f>IF(B26&gt;0,(VLOOKUP(D26,Vorgaben!A$3:B$21,2,FALSE))," ")</f>
        <v xml:space="preserve"> </v>
      </c>
      <c r="H26" s="15"/>
      <c r="I26" s="15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.75" customHeight="1">
      <c r="A27" s="13"/>
      <c r="B27" s="13"/>
      <c r="C27" s="13"/>
      <c r="D27" s="13"/>
      <c r="E27" s="20" t="s">
        <v>5</v>
      </c>
      <c r="F27" s="17">
        <f>SUM(F12:F26)</f>
        <v>0</v>
      </c>
      <c r="G27" s="13"/>
      <c r="H27" s="13"/>
      <c r="I27" s="1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customHeight="1">
      <c r="A28" s="8"/>
      <c r="B28" s="8"/>
      <c r="C28" s="8"/>
      <c r="D28" s="8"/>
      <c r="E28" s="18"/>
      <c r="F28" s="1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customHeight="1">
      <c r="A31" s="8" t="s">
        <v>8</v>
      </c>
      <c r="B31" s="8"/>
      <c r="C31" s="8"/>
      <c r="D31" s="8" t="s">
        <v>31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.75" customHeight="1">
      <c r="A32" s="8"/>
      <c r="B32" s="8"/>
      <c r="C32" s="8"/>
      <c r="D32" s="1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 customHeight="1">
      <c r="A35" s="8"/>
      <c r="B35" s="8"/>
      <c r="C35" s="8"/>
      <c r="D35" s="11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23">
      <c r="A41" s="2" t="s">
        <v>32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75" customHeight="1">
      <c r="A45" s="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</sheetData>
  <mergeCells count="1">
    <mergeCell ref="B9:D9"/>
  </mergeCells>
  <dataValidations count="1">
    <dataValidation type="list" allowBlank="1" showErrorMessage="1" sqref="L12" xr:uid="{00000000-0002-0000-0000-000000000000}">
      <formula1>"Art"</formula1>
    </dataValidation>
  </dataValidations>
  <pageMargins left="0.70866141732283472" right="0.70866141732283472" top="0.78740157480314965" bottom="0.78740157480314965" header="0" footer="0"/>
  <pageSetup paperSize="9" scale="81" fitToHeight="0" orientation="landscape" r:id="rId1"/>
  <headerFooter>
    <oddHeader>&amp;R&amp;"System Font,Standard"&amp;10&amp;K000000&amp;G</oddHeader>
    <oddFooter>&amp;CVENON Projects AG | Binzmühlestrasse 170d | CH-8050 Zürich | +41 44 330 44 33 | info@venon.ch | UID: CHE-196.120.568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1000000}">
          <x14:formula1>
            <xm:f>Vorgaben!$A$3:$A$21</xm:f>
          </x14:formula1>
          <xm:sqref>D13</xm:sqref>
        </x14:dataValidation>
        <x14:dataValidation type="list" allowBlank="1" showErrorMessage="1" xr:uid="{00000000-0002-0000-0000-000002000000}">
          <x14:formula1>
            <xm:f>Vorgaben!$A$2:$A$21</xm:f>
          </x14:formula1>
          <xm:sqref>D12 D14:D26</xm:sqref>
        </x14:dataValidation>
        <x14:dataValidation type="list" allowBlank="1" showInputMessage="1" showErrorMessage="1" xr:uid="{E6600A7A-5B4B-4956-B37A-03CCEACFC072}">
          <x14:formula1>
            <xm:f>Vorgaben!$A$24:$A$28</xm:f>
          </x14:formula1>
          <xm:sqref>H12:H26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006"/>
  <sheetViews>
    <sheetView workbookViewId="0">
      <selection activeCell="B28" sqref="B28"/>
    </sheetView>
  </sheetViews>
  <sheetFormatPr baseColWidth="10" defaultColWidth="12.6640625" defaultRowHeight="15" customHeight="1"/>
  <cols>
    <col min="1" max="1" width="35.1640625" customWidth="1"/>
    <col min="2" max="26" width="9.1640625" customWidth="1"/>
  </cols>
  <sheetData>
    <row r="3" spans="1:2">
      <c r="A3" s="1" t="s">
        <v>11</v>
      </c>
      <c r="B3" s="1">
        <v>4402</v>
      </c>
    </row>
    <row r="4" spans="1:2">
      <c r="A4" s="1" t="s">
        <v>12</v>
      </c>
      <c r="B4" s="1">
        <v>4450</v>
      </c>
    </row>
    <row r="5" spans="1:2">
      <c r="A5" s="1" t="s">
        <v>13</v>
      </c>
      <c r="B5" s="1">
        <v>4460</v>
      </c>
    </row>
    <row r="6" spans="1:2">
      <c r="A6" s="1" t="s">
        <v>14</v>
      </c>
      <c r="B6" s="1">
        <v>5850</v>
      </c>
    </row>
    <row r="7" spans="1:2">
      <c r="A7" s="1" t="s">
        <v>15</v>
      </c>
      <c r="B7" s="1">
        <v>5880</v>
      </c>
    </row>
    <row r="8" spans="1:2">
      <c r="A8" s="1" t="s">
        <v>16</v>
      </c>
      <c r="B8" s="1">
        <v>5890</v>
      </c>
    </row>
    <row r="9" spans="1:2">
      <c r="A9" s="1" t="s">
        <v>17</v>
      </c>
      <c r="B9" s="1">
        <v>6210</v>
      </c>
    </row>
    <row r="10" spans="1:2">
      <c r="A10" s="1" t="s">
        <v>21</v>
      </c>
      <c r="B10" s="1">
        <v>6500</v>
      </c>
    </row>
    <row r="11" spans="1:2">
      <c r="A11" s="1" t="s">
        <v>22</v>
      </c>
      <c r="B11" s="1">
        <v>6510</v>
      </c>
    </row>
    <row r="12" spans="1:2">
      <c r="A12" s="1" t="s">
        <v>23</v>
      </c>
      <c r="B12" s="1">
        <v>6513</v>
      </c>
    </row>
    <row r="13" spans="1:2">
      <c r="A13" s="1" t="s">
        <v>24</v>
      </c>
      <c r="B13" s="1">
        <v>6570</v>
      </c>
    </row>
    <row r="14" spans="1:2">
      <c r="A14" s="1" t="s">
        <v>18</v>
      </c>
      <c r="B14" s="1">
        <v>6580</v>
      </c>
    </row>
    <row r="15" spans="1:2">
      <c r="A15" s="1" t="s">
        <v>19</v>
      </c>
      <c r="B15" s="1">
        <v>6640</v>
      </c>
    </row>
    <row r="16" spans="1:2">
      <c r="A16" s="1" t="s">
        <v>20</v>
      </c>
      <c r="B16" s="1">
        <v>6650</v>
      </c>
    </row>
    <row r="17" spans="1:2">
      <c r="A17" s="1" t="s">
        <v>9</v>
      </c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 ht="15" customHeight="1">
      <c r="A22" s="1"/>
    </row>
    <row r="24" spans="1:2" ht="15" customHeight="1">
      <c r="A24" s="3" t="s">
        <v>27</v>
      </c>
      <c r="B24">
        <v>10</v>
      </c>
    </row>
    <row r="25" spans="1:2" ht="15" customHeight="1">
      <c r="A25" s="3" t="s">
        <v>28</v>
      </c>
      <c r="B25">
        <v>40</v>
      </c>
    </row>
    <row r="26" spans="1:2" ht="15" customHeight="1">
      <c r="A26" s="3" t="s">
        <v>29</v>
      </c>
      <c r="B26">
        <v>12</v>
      </c>
    </row>
    <row r="27" spans="1:2" ht="15.75" customHeight="1">
      <c r="A27" s="3" t="s">
        <v>30</v>
      </c>
      <c r="B27">
        <v>90</v>
      </c>
    </row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sortState xmlns:xlrd2="http://schemas.microsoft.com/office/spreadsheetml/2017/richdata2" ref="A3:B21">
    <sortCondition ref="A21"/>
  </sortState>
  <dataValidations count="1">
    <dataValidation type="list" allowBlank="1" showErrorMessage="1" sqref="A9:A13" xr:uid="{00000000-0002-0000-0100-000000000000}">
      <formula1>Art</formula1>
    </dataValidation>
  </dataValidations>
  <pageMargins left="0.7" right="0.7" top="0.78740157499999996" bottom="0.78740157499999996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b76a7a-2cfe-4bac-aaac-2427a978a688" xsi:nil="true"/>
    <lcf76f155ced4ddcb4097134ff3c332f xmlns="f3cf4560-e8c0-4c72-b8c7-31f62c9d585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CFDAC16AC7ED9468437DFE26886DEF0" ma:contentTypeVersion="18" ma:contentTypeDescription="Ein neues Dokument erstellen." ma:contentTypeScope="" ma:versionID="f1bd32f2f57cf897fd9a3984331b27f1">
  <xsd:schema xmlns:xsd="http://www.w3.org/2001/XMLSchema" xmlns:xs="http://www.w3.org/2001/XMLSchema" xmlns:p="http://schemas.microsoft.com/office/2006/metadata/properties" xmlns:ns2="36b76a7a-2cfe-4bac-aaac-2427a978a688" xmlns:ns3="f3cf4560-e8c0-4c72-b8c7-31f62c9d5852" targetNamespace="http://schemas.microsoft.com/office/2006/metadata/properties" ma:root="true" ma:fieldsID="ce7032b24bf91d1e2256b5870300a519" ns2:_="" ns3:_="">
    <xsd:import namespace="36b76a7a-2cfe-4bac-aaac-2427a978a688"/>
    <xsd:import namespace="f3cf4560-e8c0-4c72-b8c7-31f62c9d585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76a7a-2cfe-4bac-aaac-2427a978a6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cdf4bf-100d-48bf-b575-17a5d70665f9}" ma:internalName="TaxCatchAll" ma:showField="CatchAllData" ma:web="36b76a7a-2cfe-4bac-aaac-2427a978a6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f4560-e8c0-4c72-b8c7-31f62c9d5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c865b1c4-07a6-4d5b-953b-ec444e06a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95DB93-ABBB-442B-B349-720DFA7BF5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32357-437F-469D-BC01-2375FF5242CF}">
  <ds:schemaRefs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f3cf4560-e8c0-4c72-b8c7-31f62c9d5852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6b76a7a-2cfe-4bac-aaac-2427a978a688"/>
  </ds:schemaRefs>
</ds:datastoreItem>
</file>

<file path=customXml/itemProps3.xml><?xml version="1.0" encoding="utf-8"?>
<ds:datastoreItem xmlns:ds="http://schemas.openxmlformats.org/officeDocument/2006/customXml" ds:itemID="{0826390A-733F-4CE1-B160-8441DC7977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b76a7a-2cfe-4bac-aaac-2427a978a688"/>
    <ds:schemaRef ds:uri="f3cf4560-e8c0-4c72-b8c7-31f62c9d58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Spesenabrechnung</vt:lpstr>
      <vt:lpstr>Vorgaben</vt:lpstr>
      <vt:lpstr>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Sandro Marazzi</dc:creator>
  <cp:keywords/>
  <dc:description/>
  <cp:lastModifiedBy>Benjamin Knaus</cp:lastModifiedBy>
  <cp:revision/>
  <cp:lastPrinted>2024-11-07T13:26:27Z</cp:lastPrinted>
  <dcterms:created xsi:type="dcterms:W3CDTF">2018-08-07T14:57:55Z</dcterms:created>
  <dcterms:modified xsi:type="dcterms:W3CDTF">2026-07-29T19:20:35Z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0x010100DCFDAC16AC7ED9468437DFE26886DEF0</vt:lpwstr>
  </property>
  <property fmtid="{D5CDD505-2E9C-101B-9397-08002B2CF9AE}" pid="3" name="Order">
    <vt:i4>24400</vt:i4>
  </property>
  <property fmtid="{D5CDD505-2E9C-101B-9397-08002B2CF9AE}" pid="4" name="MediaServiceImageTags">
    <vt:lpwstr/>
  </property>
</Properties>
</file>